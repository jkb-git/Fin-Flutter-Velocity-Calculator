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b\Sync\JKB_Projects\Amateur Rocketry\Flutter Calc\Current Fin Flutter Calculator\"/>
    </mc:Choice>
  </mc:AlternateContent>
  <xr:revisionPtr revIDLastSave="0" documentId="13_ncr:1_{0A68E7D1-2CBB-4F8F-9D69-7437D586F3E0}" xr6:coauthVersionLast="47" xr6:coauthVersionMax="47" xr10:uidLastSave="{00000000-0000-0000-0000-000000000000}"/>
  <bookViews>
    <workbookView xWindow="1543" yWindow="1071" windowWidth="20914" windowHeight="17392" xr2:uid="{135730EB-776F-4B32-8133-A3ABBC58F5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43" i="1"/>
  <c r="E51" i="1" s="1"/>
  <c r="H16" i="1"/>
  <c r="H43" i="1"/>
  <c r="H48" i="1" s="1"/>
  <c r="E48" i="1"/>
  <c r="H35" i="1"/>
  <c r="H37" i="1" s="1"/>
  <c r="E35" i="1"/>
  <c r="E37" i="1" s="1"/>
  <c r="H33" i="1"/>
  <c r="H60" i="1" s="1"/>
  <c r="E33" i="1"/>
  <c r="E60" i="1" s="1"/>
  <c r="H31" i="1"/>
  <c r="H29" i="1"/>
  <c r="H39" i="1" s="1"/>
  <c r="H41" i="1" s="1"/>
  <c r="H57" i="1" s="1"/>
  <c r="E29" i="1"/>
  <c r="E39" i="1" s="1"/>
  <c r="E41" i="1" s="1"/>
  <c r="E31" i="1"/>
  <c r="E16" i="1"/>
  <c r="E63" i="1" l="1"/>
  <c r="H51" i="1"/>
  <c r="H63" i="1" s="1"/>
  <c r="E57" i="1"/>
  <c r="H66" i="1"/>
  <c r="E66" i="1"/>
  <c r="E71" i="1" l="1"/>
  <c r="E70" i="1"/>
  <c r="H71" i="1"/>
  <c r="H70" i="1"/>
</calcChain>
</file>

<file path=xl/sharedStrings.xml><?xml version="1.0" encoding="utf-8"?>
<sst xmlns="http://schemas.openxmlformats.org/spreadsheetml/2006/main" count="131" uniqueCount="83">
  <si>
    <t>Vf</t>
  </si>
  <si>
    <t>t</t>
  </si>
  <si>
    <t>=</t>
  </si>
  <si>
    <t>fin thickness</t>
  </si>
  <si>
    <t>psi</t>
  </si>
  <si>
    <t>ft/sec</t>
  </si>
  <si>
    <t>root chord length</t>
  </si>
  <si>
    <t>Data to be Entered</t>
  </si>
  <si>
    <t>ft</t>
  </si>
  <si>
    <t>tip chord length</t>
  </si>
  <si>
    <t>m</t>
  </si>
  <si>
    <t>fin sweep length</t>
  </si>
  <si>
    <t>deg F</t>
  </si>
  <si>
    <t>MaxV</t>
  </si>
  <si>
    <r>
      <t xml:space="preserve">Primary reference: NACA TN 4917 - Dennis J. Martin, </t>
    </r>
    <r>
      <rPr>
        <i/>
        <sz val="11"/>
        <color theme="1"/>
        <rFont val="Calibri"/>
        <family val="2"/>
        <scheme val="minor"/>
      </rPr>
      <t>Summary of Flutter Experiences as a Guide to The Preliminary Design of Lifting Surfaces on Missles</t>
    </r>
    <r>
      <rPr>
        <sz val="11"/>
        <color theme="1"/>
        <rFont val="Calibri"/>
        <family val="2"/>
        <scheme val="minor"/>
      </rPr>
      <t>, February, 1958</t>
    </r>
  </si>
  <si>
    <t>T2T</t>
  </si>
  <si>
    <t>YES or NO</t>
  </si>
  <si>
    <t>NO</t>
  </si>
  <si>
    <t>launch site altitude (ASL)</t>
  </si>
  <si>
    <t>in</t>
  </si>
  <si>
    <t>Imperial Units</t>
  </si>
  <si>
    <t>TLS</t>
  </si>
  <si>
    <t>Launch Site Data</t>
  </si>
  <si>
    <t>LSA</t>
  </si>
  <si>
    <t>SI Units</t>
  </si>
  <si>
    <t>cm</t>
  </si>
  <si>
    <t>TC</t>
  </si>
  <si>
    <t>RC</t>
  </si>
  <si>
    <t>SSL</t>
  </si>
  <si>
    <t>meters/sec</t>
  </si>
  <si>
    <t>meters</t>
  </si>
  <si>
    <t>deg C</t>
  </si>
  <si>
    <t>Calculated Values</t>
  </si>
  <si>
    <t>maximum predicted rocket velocity</t>
  </si>
  <si>
    <t>Fin Geometry Data</t>
  </si>
  <si>
    <t>KPa</t>
  </si>
  <si>
    <t>in sq</t>
  </si>
  <si>
    <t>First Term</t>
  </si>
  <si>
    <t>Second Term</t>
  </si>
  <si>
    <t>Third Term</t>
  </si>
  <si>
    <t>cm sq</t>
  </si>
  <si>
    <t>%</t>
  </si>
  <si>
    <r>
      <t>ԑ</t>
    </r>
    <r>
      <rPr>
        <sz val="11"/>
        <color theme="1"/>
        <rFont val="Calibri"/>
        <family val="2"/>
        <scheme val="minor"/>
      </rPr>
      <t xml:space="preserve"> (epsilon)</t>
    </r>
  </si>
  <si>
    <r>
      <t xml:space="preserve">Cx </t>
    </r>
    <r>
      <rPr>
        <sz val="11"/>
        <color theme="1"/>
        <rFont val="Calibri"/>
        <family val="2"/>
        <scheme val="minor"/>
      </rPr>
      <t>(for trapezoidal fins)</t>
    </r>
  </si>
  <si>
    <t>fin thickness / root chord length</t>
  </si>
  <si>
    <t>tip chord length / root chord length</t>
  </si>
  <si>
    <t>Shear Modulus (doubled in calculation if tip-to-tip reinforcement)</t>
  </si>
  <si>
    <r>
      <t xml:space="preserve">Fin Area </t>
    </r>
    <r>
      <rPr>
        <sz val="11"/>
        <color theme="1"/>
        <rFont val="Calibri"/>
        <family val="2"/>
        <scheme val="minor"/>
      </rPr>
      <t>(trapezoidal fin)</t>
    </r>
  </si>
  <si>
    <t>Safety Margin</t>
  </si>
  <si>
    <t>Safety Margin %</t>
  </si>
  <si>
    <t>Tip-to-Tip reinforcing present?</t>
  </si>
  <si>
    <r>
      <t xml:space="preserve">DN </t>
    </r>
    <r>
      <rPr>
        <sz val="11"/>
        <color theme="1"/>
        <rFont val="Calibri"/>
        <family val="2"/>
        <scheme val="minor"/>
      </rPr>
      <t>(denominator constant)</t>
    </r>
  </si>
  <si>
    <r>
      <t>Tf or Tc</t>
    </r>
    <r>
      <rPr>
        <sz val="11"/>
        <color theme="1"/>
        <rFont val="Calibri"/>
        <family val="2"/>
        <scheme val="minor"/>
      </rPr>
      <t xml:space="preserve"> (air temp at AMaxV)</t>
    </r>
  </si>
  <si>
    <r>
      <rPr>
        <b/>
        <i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(speed of sound at AMaxV)</t>
    </r>
  </si>
  <si>
    <r>
      <t xml:space="preserve">p </t>
    </r>
    <r>
      <rPr>
        <sz val="11"/>
        <color theme="1"/>
        <rFont val="Calibri"/>
        <family val="2"/>
        <scheme val="minor"/>
      </rPr>
      <t>(air pressure at AMaxV)</t>
    </r>
  </si>
  <si>
    <t>Enter the data highlighted in green  in either Imperial or SI Units (but not both)</t>
  </si>
  <si>
    <r>
      <rPr>
        <b/>
        <u/>
        <sz val="12"/>
        <color theme="1"/>
        <rFont val="Calibri"/>
        <family val="2"/>
        <scheme val="minor"/>
      </rPr>
      <t>Suggested Values for G</t>
    </r>
    <r>
      <rPr>
        <b/>
        <u/>
        <vertAlign val="subscript"/>
        <sz val="12"/>
        <color theme="1"/>
        <rFont val="Calibri"/>
        <family val="2"/>
        <scheme val="minor"/>
      </rPr>
      <t>E</t>
    </r>
  </si>
  <si>
    <r>
      <t>A</t>
    </r>
    <r>
      <rPr>
        <sz val="11"/>
        <color theme="1"/>
        <rFont val="Calibri"/>
        <family val="2"/>
        <scheme val="minor"/>
      </rPr>
      <t xml:space="preserve"> (aspect ratio)</t>
    </r>
  </si>
  <si>
    <r>
      <t xml:space="preserve">t/c </t>
    </r>
    <r>
      <rPr>
        <sz val="11"/>
        <color theme="1"/>
        <rFont val="Calibri"/>
        <family val="2"/>
        <scheme val="minor"/>
      </rPr>
      <t>(thickness ratio)</t>
    </r>
  </si>
  <si>
    <r>
      <t>λ</t>
    </r>
    <r>
      <rPr>
        <sz val="11"/>
        <color theme="1"/>
        <rFont val="Calibri"/>
        <family val="2"/>
        <scheme val="minor"/>
      </rPr>
      <t xml:space="preserve"> (lambda) (taper ratio)</t>
    </r>
  </si>
  <si>
    <r>
      <t>(semi-span length or height)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/ fin area</t>
    </r>
  </si>
  <si>
    <t xml:space="preserve">semi span length (height) </t>
  </si>
  <si>
    <t>predicted altitude at predicted maximum rocket velocity</t>
  </si>
  <si>
    <r>
      <t xml:space="preserve">This spreadsheet estimates the fin flutter velocity using Martin's method. See accompanying article </t>
    </r>
    <r>
      <rPr>
        <i/>
        <sz val="11"/>
        <color theme="1"/>
        <rFont val="Calibri"/>
        <family val="2"/>
        <scheme val="minor"/>
      </rPr>
      <t>Fin Flutter Analysis Revisited (Again)</t>
    </r>
    <r>
      <rPr>
        <sz val="11"/>
        <color theme="1"/>
        <rFont val="Calibri"/>
        <family val="2"/>
        <scheme val="minor"/>
      </rPr>
      <t xml:space="preserve"> for implementation details and limitations.</t>
    </r>
  </si>
  <si>
    <t>Due to slight differences in atmospheric model constants, as well as rounding differences, Imperial and SI calculations for the same geometry and conditions may differ slightly.</t>
  </si>
  <si>
    <t>DST</t>
  </si>
  <si>
    <t>DST or LST</t>
  </si>
  <si>
    <t>December 2023</t>
  </si>
  <si>
    <r>
      <t>G</t>
    </r>
    <r>
      <rPr>
        <b/>
        <vertAlign val="sub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 xml:space="preserve">  (shear modulus)</t>
    </r>
  </si>
  <si>
    <t>(edit formula for other fin shapes)</t>
  </si>
  <si>
    <t>(create "pseudo" tip chord if nec.)</t>
  </si>
  <si>
    <t>AMaxV (AGL)</t>
  </si>
  <si>
    <t>© 2023-25 John K. Bennett; BSD 2-Clause License (details at https://github.com/jkb-git/Fin-Flutter-Velocity-Calculator/blob/main/LICENSE)</t>
  </si>
  <si>
    <t>Calculation of Fin Flutter Velocity v1.3 (December 2025)</t>
  </si>
  <si>
    <t>surface temperature at launch site</t>
  </si>
  <si>
    <t>PLS</t>
  </si>
  <si>
    <t>surface barometric pressure at launch site</t>
  </si>
  <si>
    <t>Standard Model (DST) or Relative Model (LST)?</t>
  </si>
  <si>
    <r>
      <t>Use Default Sea-Level T&amp;P (</t>
    </r>
    <r>
      <rPr>
        <b/>
        <sz val="11"/>
        <color theme="1"/>
        <rFont val="Calibri"/>
        <family val="2"/>
        <scheme val="minor"/>
      </rPr>
      <t>DST</t>
    </r>
    <r>
      <rPr>
        <sz val="11"/>
        <color theme="1"/>
        <rFont val="Calibri"/>
        <family val="2"/>
        <scheme val="minor"/>
      </rPr>
      <t>) or Launch Site T&amp;P (</t>
    </r>
    <r>
      <rPr>
        <b/>
        <sz val="11"/>
        <color theme="1"/>
        <rFont val="Calibri"/>
        <family val="2"/>
        <scheme val="minor"/>
      </rPr>
      <t>LST</t>
    </r>
    <r>
      <rPr>
        <sz val="11"/>
        <color theme="1"/>
        <rFont val="Calibri"/>
        <family val="2"/>
        <scheme val="minor"/>
      </rPr>
      <t>)</t>
    </r>
  </si>
  <si>
    <t>ASL for DST; AGL for LST</t>
  </si>
  <si>
    <t>Sea Level P0 for DST</t>
  </si>
  <si>
    <t>Local P0 for LST</t>
  </si>
  <si>
    <t>(30 inHg)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</si>
</sst>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i/>
      <sz val="11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vertAlign val="subscript"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0" xfId="0" quotePrefix="1" applyFont="1" applyAlignment="1">
      <alignment horizontal="center"/>
    </xf>
    <xf numFmtId="0" fontId="2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164" fontId="0" fillId="0" borderId="0" xfId="0" applyNumberFormat="1"/>
    <xf numFmtId="165" fontId="5" fillId="2" borderId="0" xfId="0" applyNumberFormat="1" applyFont="1" applyFill="1"/>
    <xf numFmtId="2" fontId="1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/>
    <xf numFmtId="0" fontId="8" fillId="0" borderId="0" xfId="0" applyFont="1"/>
    <xf numFmtId="0" fontId="9" fillId="0" borderId="0" xfId="0" applyFont="1"/>
    <xf numFmtId="2" fontId="0" fillId="0" borderId="0" xfId="0" applyNumberFormat="1"/>
    <xf numFmtId="2" fontId="5" fillId="2" borderId="0" xfId="0" applyNumberFormat="1" applyFont="1" applyFill="1"/>
    <xf numFmtId="166" fontId="5" fillId="2" borderId="0" xfId="0" applyNumberFormat="1" applyFont="1" applyFill="1"/>
    <xf numFmtId="166" fontId="0" fillId="0" borderId="0" xfId="0" applyNumberFormat="1"/>
    <xf numFmtId="166" fontId="1" fillId="0" borderId="0" xfId="0" applyNumberFormat="1" applyFont="1"/>
    <xf numFmtId="2" fontId="7" fillId="0" borderId="0" xfId="0" applyNumberFormat="1" applyFont="1"/>
    <xf numFmtId="0" fontId="5" fillId="6" borderId="0" xfId="0" applyFont="1" applyFill="1"/>
    <xf numFmtId="0" fontId="1" fillId="3" borderId="0" xfId="0" applyFont="1" applyFill="1"/>
    <xf numFmtId="166" fontId="7" fillId="0" borderId="1" xfId="0" applyNumberFormat="1" applyFont="1" applyBorder="1"/>
    <xf numFmtId="165" fontId="0" fillId="0" borderId="0" xfId="0" applyNumberFormat="1"/>
    <xf numFmtId="166" fontId="7" fillId="3" borderId="3" xfId="0" applyNumberFormat="1" applyFont="1" applyFill="1" applyBorder="1"/>
    <xf numFmtId="2" fontId="7" fillId="3" borderId="3" xfId="0" applyNumberFormat="1" applyFont="1" applyFill="1" applyBorder="1"/>
    <xf numFmtId="0" fontId="0" fillId="3" borderId="0" xfId="0" applyFill="1"/>
    <xf numFmtId="17" fontId="0" fillId="0" borderId="0" xfId="0" quotePrefix="1" applyNumberFormat="1"/>
    <xf numFmtId="1" fontId="14" fillId="2" borderId="0" xfId="0" applyNumberFormat="1" applyFont="1" applyFill="1" applyAlignment="1">
      <alignment horizontal="right"/>
    </xf>
    <xf numFmtId="2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65" fontId="7" fillId="0" borderId="0" xfId="0" applyNumberFormat="1" applyFont="1" applyAlignment="1">
      <alignment horizontal="right"/>
    </xf>
    <xf numFmtId="2" fontId="7" fillId="3" borderId="3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166" fontId="7" fillId="0" borderId="1" xfId="0" applyNumberFormat="1" applyFont="1" applyBorder="1" applyAlignment="1">
      <alignment horizontal="right"/>
    </xf>
    <xf numFmtId="166" fontId="7" fillId="3" borderId="3" xfId="0" applyNumberFormat="1" applyFont="1" applyFill="1" applyBorder="1" applyAlignment="1">
      <alignment horizontal="right"/>
    </xf>
    <xf numFmtId="164" fontId="1" fillId="0" borderId="0" xfId="0" applyNumberFormat="1" applyFont="1"/>
    <xf numFmtId="165" fontId="1" fillId="0" borderId="0" xfId="0" applyNumberFormat="1" applyFont="1"/>
    <xf numFmtId="2" fontId="1" fillId="3" borderId="4" xfId="0" applyNumberFormat="1" applyFont="1" applyFill="1" applyBorder="1"/>
    <xf numFmtId="166" fontId="1" fillId="0" borderId="2" xfId="0" applyNumberFormat="1" applyFont="1" applyBorder="1"/>
    <xf numFmtId="166" fontId="1" fillId="3" borderId="4" xfId="0" applyNumberFormat="1" applyFont="1" applyFill="1" applyBorder="1"/>
    <xf numFmtId="0" fontId="1" fillId="3" borderId="4" xfId="0" applyFont="1" applyFill="1" applyBorder="1"/>
    <xf numFmtId="0" fontId="1" fillId="0" borderId="2" xfId="0" applyFont="1" applyBorder="1"/>
    <xf numFmtId="0" fontId="13" fillId="0" borderId="0" xfId="0" applyFont="1"/>
    <xf numFmtId="0" fontId="15" fillId="0" borderId="0" xfId="0" applyFont="1" applyAlignment="1">
      <alignment horizontal="right"/>
    </xf>
    <xf numFmtId="0" fontId="1" fillId="4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14774</xdr:colOff>
      <xdr:row>28</xdr:row>
      <xdr:rowOff>21768</xdr:rowOff>
    </xdr:from>
    <xdr:to>
      <xdr:col>3</xdr:col>
      <xdr:colOff>3472318</xdr:colOff>
      <xdr:row>30</xdr:row>
      <xdr:rowOff>37321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7A1A04DE-AA2E-C613-22AA-FD0C594EE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4875" y="5363544"/>
          <a:ext cx="3457544" cy="38877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1</xdr:rowOff>
    </xdr:from>
    <xdr:to>
      <xdr:col>3</xdr:col>
      <xdr:colOff>1072243</xdr:colOff>
      <xdr:row>38</xdr:row>
      <xdr:rowOff>161848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D115B58-F38D-1300-7AA1-D42CD7D77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33600" y="5045530"/>
          <a:ext cx="1072243" cy="346902"/>
        </a:xfrm>
        <a:prstGeom prst="rect">
          <a:avLst/>
        </a:prstGeom>
      </xdr:spPr>
    </xdr:pic>
    <xdr:clientData/>
  </xdr:twoCellAnchor>
  <xdr:twoCellAnchor editAs="oneCell">
    <xdr:from>
      <xdr:col>3</xdr:col>
      <xdr:colOff>21773</xdr:colOff>
      <xdr:row>38</xdr:row>
      <xdr:rowOff>168729</xdr:rowOff>
    </xdr:from>
    <xdr:to>
      <xdr:col>3</xdr:col>
      <xdr:colOff>1534887</xdr:colOff>
      <xdr:row>40</xdr:row>
      <xdr:rowOff>163848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F14AAECE-2BD0-F7FE-6B9E-A68459DB2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53444" y="5399315"/>
          <a:ext cx="1513114" cy="365234"/>
        </a:xfrm>
        <a:prstGeom prst="rect">
          <a:avLst/>
        </a:prstGeom>
      </xdr:spPr>
    </xdr:pic>
    <xdr:clientData/>
  </xdr:twoCellAnchor>
  <xdr:twoCellAnchor editAs="oneCell">
    <xdr:from>
      <xdr:col>3</xdr:col>
      <xdr:colOff>23326</xdr:colOff>
      <xdr:row>55</xdr:row>
      <xdr:rowOff>7777</xdr:rowOff>
    </xdr:from>
    <xdr:to>
      <xdr:col>3</xdr:col>
      <xdr:colOff>1111897</xdr:colOff>
      <xdr:row>57</xdr:row>
      <xdr:rowOff>161454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14006F-608E-C3A7-FCFF-11F11E482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83427" y="10784634"/>
          <a:ext cx="1088571" cy="526901"/>
        </a:xfrm>
        <a:prstGeom prst="rect">
          <a:avLst/>
        </a:prstGeom>
      </xdr:spPr>
    </xdr:pic>
    <xdr:clientData/>
  </xdr:twoCellAnchor>
  <xdr:twoCellAnchor editAs="oneCell">
    <xdr:from>
      <xdr:col>2</xdr:col>
      <xdr:colOff>738673</xdr:colOff>
      <xdr:row>33</xdr:row>
      <xdr:rowOff>101082</xdr:rowOff>
    </xdr:from>
    <xdr:to>
      <xdr:col>3</xdr:col>
      <xdr:colOff>3533191</xdr:colOff>
      <xdr:row>35</xdr:row>
      <xdr:rowOff>96523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0D9B45-E5EF-AC85-CE4E-16899BB01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44550" y="6375919"/>
          <a:ext cx="3548742" cy="36866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17</xdr:col>
      <xdr:colOff>499965</xdr:colOff>
      <xdr:row>33</xdr:row>
      <xdr:rowOff>121776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326C479-E35A-4FAC-B6CC-19D4C910D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54409" y="4338734"/>
          <a:ext cx="5219700" cy="2019000"/>
        </a:xfrm>
        <a:prstGeom prst="rect">
          <a:avLst/>
        </a:prstGeom>
      </xdr:spPr>
    </xdr:pic>
    <xdr:clientData/>
  </xdr:twoCellAnchor>
  <xdr:twoCellAnchor editAs="oneCell">
    <xdr:from>
      <xdr:col>3</xdr:col>
      <xdr:colOff>62204</xdr:colOff>
      <xdr:row>58</xdr:row>
      <xdr:rowOff>139959</xdr:rowOff>
    </xdr:from>
    <xdr:to>
      <xdr:col>3</xdr:col>
      <xdr:colOff>633704</xdr:colOff>
      <xdr:row>60</xdr:row>
      <xdr:rowOff>171255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3DFF1A-1B2B-4BDE-ABEA-51FBAF6F9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22305" y="11476653"/>
          <a:ext cx="571500" cy="404520"/>
        </a:xfrm>
        <a:prstGeom prst="rect">
          <a:avLst/>
        </a:prstGeom>
      </xdr:spPr>
    </xdr:pic>
    <xdr:clientData/>
  </xdr:twoCellAnchor>
  <xdr:twoCellAnchor editAs="oneCell">
    <xdr:from>
      <xdr:col>3</xdr:col>
      <xdr:colOff>40434</xdr:colOff>
      <xdr:row>61</xdr:row>
      <xdr:rowOff>105747</xdr:rowOff>
    </xdr:from>
    <xdr:to>
      <xdr:col>3</xdr:col>
      <xdr:colOff>426877</xdr:colOff>
      <xdr:row>63</xdr:row>
      <xdr:rowOff>105336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F66E4FC-B832-442F-BB89-5D4C9C622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00535" y="12002277"/>
          <a:ext cx="386443" cy="372813"/>
        </a:xfrm>
        <a:prstGeom prst="rect">
          <a:avLst/>
        </a:prstGeom>
      </xdr:spPr>
    </xdr:pic>
    <xdr:clientData/>
  </xdr:twoCellAnchor>
  <xdr:twoCellAnchor editAs="oneCell">
    <xdr:from>
      <xdr:col>3</xdr:col>
      <xdr:colOff>35768</xdr:colOff>
      <xdr:row>45</xdr:row>
      <xdr:rowOff>124407</xdr:rowOff>
    </xdr:from>
    <xdr:to>
      <xdr:col>3</xdr:col>
      <xdr:colOff>1959501</xdr:colOff>
      <xdr:row>48</xdr:row>
      <xdr:rowOff>124408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0CDA2F7-A423-41F4-8178-63609BDF9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95869" y="8661917"/>
          <a:ext cx="1923733" cy="559838"/>
        </a:xfrm>
        <a:prstGeom prst="rect">
          <a:avLst/>
        </a:prstGeom>
      </xdr:spPr>
    </xdr:pic>
    <xdr:clientData/>
  </xdr:twoCellAnchor>
  <xdr:twoCellAnchor editAs="oneCell">
    <xdr:from>
      <xdr:col>3</xdr:col>
      <xdr:colOff>46653</xdr:colOff>
      <xdr:row>64</xdr:row>
      <xdr:rowOff>62205</xdr:rowOff>
    </xdr:from>
    <xdr:to>
      <xdr:col>3</xdr:col>
      <xdr:colOff>3410338</xdr:colOff>
      <xdr:row>68</xdr:row>
      <xdr:rowOff>67058</xdr:rowOff>
    </xdr:to>
    <xdr:pic>
      <xdr:nvPicPr>
        <xdr:cNvPr id="12" name="Picture 11" descr="%FontSize=11&#10;%TeXFontSize=11&#10;\documentclass{article}&#10;\pagestyle{empty}&#10;\begin{document}&#10;\[&#10;V_{f} = a\times\sqrt{\frac{G_{E}}{\frac{DN \times A^3}{(\frac{t}{c})^3\times(A + 2)}\times(\frac{\lambda + 1}{2})\times(\frac{p}{p_{0}})}}&#10;\]&#10;\end{document}">
          <a:extLst>
            <a:ext uri="{FF2B5EF4-FFF2-40B4-BE49-F238E27FC236}">
              <a16:creationId xmlns:a16="http://schemas.microsoft.com/office/drawing/2014/main" id="{65405EAB-D736-4DA0-97E6-ADEF6BDC3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lum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6754" y="12518572"/>
          <a:ext cx="3363685" cy="766853"/>
        </a:xfrm>
        <a:prstGeom prst="rect">
          <a:avLst/>
        </a:prstGeom>
      </xdr:spPr>
    </xdr:pic>
    <xdr:clientData/>
  </xdr:twoCellAnchor>
  <xdr:twoCellAnchor editAs="oneCell">
    <xdr:from>
      <xdr:col>2</xdr:col>
      <xdr:colOff>738674</xdr:colOff>
      <xdr:row>41</xdr:row>
      <xdr:rowOff>108857</xdr:rowOff>
    </xdr:from>
    <xdr:to>
      <xdr:col>3</xdr:col>
      <xdr:colOff>2425960</xdr:colOff>
      <xdr:row>45</xdr:row>
      <xdr:rowOff>17149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C3535F5-0340-43F3-BB6E-D53583FCF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444551" y="7899918"/>
          <a:ext cx="2441510" cy="654741"/>
        </a:xfrm>
        <a:prstGeom prst="rect">
          <a:avLst/>
        </a:prstGeom>
      </xdr:spPr>
    </xdr:pic>
    <xdr:clientData/>
  </xdr:twoCellAnchor>
  <xdr:twoCellAnchor editAs="oneCell">
    <xdr:from>
      <xdr:col>3</xdr:col>
      <xdr:colOff>156029</xdr:colOff>
      <xdr:row>49</xdr:row>
      <xdr:rowOff>16589</xdr:rowOff>
    </xdr:from>
    <xdr:to>
      <xdr:col>3</xdr:col>
      <xdr:colOff>2270968</xdr:colOff>
      <xdr:row>54</xdr:row>
      <xdr:rowOff>25047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7D15820-6081-434F-A965-6B03EFD18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17686" y="9392817"/>
          <a:ext cx="2114939" cy="9518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8C17-567A-4CAA-8CD9-43C881BBE76F}">
  <dimension ref="A1:R71"/>
  <sheetViews>
    <sheetView tabSelected="1" zoomScale="75" zoomScaleNormal="75" workbookViewId="0">
      <selection activeCell="H51" sqref="H51"/>
    </sheetView>
  </sheetViews>
  <sheetFormatPr defaultRowHeight="14.6" x14ac:dyDescent="0.4"/>
  <cols>
    <col min="2" max="2" width="29" customWidth="1"/>
    <col min="3" max="3" width="10.69140625" customWidth="1"/>
    <col min="4" max="4" width="55.3828125" customWidth="1"/>
    <col min="5" max="5" width="10.3828125" bestFit="1" customWidth="1"/>
    <col min="6" max="6" width="9.07421875" customWidth="1"/>
    <col min="8" max="8" width="10.84375" customWidth="1"/>
    <col min="9" max="9" width="12.3828125" customWidth="1"/>
    <col min="10" max="10" width="10.4609375" customWidth="1"/>
    <col min="11" max="11" width="10.69140625" customWidth="1"/>
    <col min="12" max="12" width="8.84375" customWidth="1"/>
    <col min="15" max="15" width="10.23046875" customWidth="1"/>
  </cols>
  <sheetData>
    <row r="1" spans="2:10" s="4" customFormat="1" ht="18.45" x14ac:dyDescent="0.5">
      <c r="B1" s="4" t="s">
        <v>73</v>
      </c>
    </row>
    <row r="2" spans="2:10" x14ac:dyDescent="0.4">
      <c r="B2" t="s">
        <v>72</v>
      </c>
    </row>
    <row r="3" spans="2:10" x14ac:dyDescent="0.4">
      <c r="B3" s="27" t="s">
        <v>67</v>
      </c>
      <c r="C3" s="1"/>
    </row>
    <row r="4" spans="2:10" x14ac:dyDescent="0.4">
      <c r="B4" t="s">
        <v>14</v>
      </c>
    </row>
    <row r="5" spans="2:10" x14ac:dyDescent="0.4">
      <c r="B5" t="s">
        <v>63</v>
      </c>
    </row>
    <row r="6" spans="2:10" x14ac:dyDescent="0.4">
      <c r="B6" s="21" t="s">
        <v>64</v>
      </c>
      <c r="C6" s="21"/>
      <c r="D6" s="21"/>
      <c r="E6" s="21"/>
      <c r="F6" s="21"/>
      <c r="G6" s="21"/>
      <c r="H6" s="21"/>
      <c r="I6" s="26"/>
    </row>
    <row r="8" spans="2:10" x14ac:dyDescent="0.4">
      <c r="B8" s="49" t="s">
        <v>55</v>
      </c>
      <c r="C8" s="49"/>
      <c r="D8" s="49"/>
    </row>
    <row r="10" spans="2:10" x14ac:dyDescent="0.4">
      <c r="B10" s="50" t="s">
        <v>7</v>
      </c>
      <c r="C10" s="50"/>
      <c r="D10" s="50"/>
      <c r="E10" s="48" t="s">
        <v>20</v>
      </c>
      <c r="F10" s="48"/>
      <c r="H10" s="48" t="s">
        <v>24</v>
      </c>
      <c r="I10" s="48"/>
    </row>
    <row r="11" spans="2:10" x14ac:dyDescent="0.4">
      <c r="B11" s="3" t="s">
        <v>22</v>
      </c>
    </row>
    <row r="12" spans="2:10" x14ac:dyDescent="0.4">
      <c r="B12" s="1" t="s">
        <v>13</v>
      </c>
      <c r="C12" s="2" t="s">
        <v>2</v>
      </c>
      <c r="D12" t="s">
        <v>33</v>
      </c>
      <c r="E12" s="5">
        <v>1500</v>
      </c>
      <c r="F12" s="1" t="s">
        <v>5</v>
      </c>
      <c r="G12" s="9"/>
      <c r="H12" s="16">
        <v>457.20000000000005</v>
      </c>
      <c r="I12" s="9" t="s">
        <v>29</v>
      </c>
    </row>
    <row r="13" spans="2:10" x14ac:dyDescent="0.4">
      <c r="B13" s="1" t="s">
        <v>71</v>
      </c>
      <c r="C13" s="2" t="s">
        <v>2</v>
      </c>
      <c r="D13" t="s">
        <v>62</v>
      </c>
      <c r="E13" s="5">
        <v>2200</v>
      </c>
      <c r="F13" s="1" t="s">
        <v>8</v>
      </c>
      <c r="H13" s="16">
        <v>670.56</v>
      </c>
      <c r="I13" s="1" t="s">
        <v>30</v>
      </c>
    </row>
    <row r="14" spans="2:10" x14ac:dyDescent="0.4">
      <c r="B14" s="1" t="s">
        <v>23</v>
      </c>
      <c r="C14" s="2" t="s">
        <v>2</v>
      </c>
      <c r="D14" t="s">
        <v>18</v>
      </c>
      <c r="E14" s="5">
        <v>4500</v>
      </c>
      <c r="F14" s="1" t="s">
        <v>8</v>
      </c>
      <c r="H14" s="16">
        <v>1371.6000000000001</v>
      </c>
      <c r="I14" s="1" t="s">
        <v>30</v>
      </c>
    </row>
    <row r="15" spans="2:10" x14ac:dyDescent="0.4">
      <c r="B15" s="1" t="s">
        <v>21</v>
      </c>
      <c r="C15" s="2" t="s">
        <v>2</v>
      </c>
      <c r="D15" t="s">
        <v>74</v>
      </c>
      <c r="E15" s="5">
        <v>95</v>
      </c>
      <c r="F15" s="1" t="s">
        <v>12</v>
      </c>
      <c r="H15" s="16">
        <v>35</v>
      </c>
      <c r="I15" s="1" t="s">
        <v>31</v>
      </c>
    </row>
    <row r="16" spans="2:10" x14ac:dyDescent="0.4">
      <c r="B16" s="1" t="s">
        <v>75</v>
      </c>
      <c r="C16" s="2" t="s">
        <v>2</v>
      </c>
      <c r="D16" t="s">
        <v>76</v>
      </c>
      <c r="E16" s="5">
        <f>30*0.491154</f>
        <v>14.73462</v>
      </c>
      <c r="F16" s="1" t="s">
        <v>4</v>
      </c>
      <c r="H16" s="16">
        <f>30*3.38639</f>
        <v>101.5917</v>
      </c>
      <c r="I16" s="1" t="s">
        <v>35</v>
      </c>
      <c r="J16" t="s">
        <v>82</v>
      </c>
    </row>
    <row r="17" spans="2:18" x14ac:dyDescent="0.4">
      <c r="B17" s="1" t="s">
        <v>77</v>
      </c>
      <c r="C17" s="2" t="s">
        <v>2</v>
      </c>
      <c r="D17" t="s">
        <v>78</v>
      </c>
      <c r="E17" s="6" t="s">
        <v>65</v>
      </c>
      <c r="F17" s="20" t="s">
        <v>66</v>
      </c>
      <c r="H17" s="6" t="s">
        <v>65</v>
      </c>
      <c r="I17" s="20" t="s">
        <v>66</v>
      </c>
    </row>
    <row r="18" spans="2:18" x14ac:dyDescent="0.4">
      <c r="B18" s="1"/>
      <c r="C18" s="2"/>
      <c r="E18" s="10"/>
    </row>
    <row r="19" spans="2:18" x14ac:dyDescent="0.4">
      <c r="B19" s="3" t="s">
        <v>34</v>
      </c>
      <c r="C19" s="2"/>
      <c r="E19" s="11"/>
    </row>
    <row r="20" spans="2:18" x14ac:dyDescent="0.4">
      <c r="B20" s="1" t="s">
        <v>1</v>
      </c>
      <c r="C20" s="2" t="s">
        <v>2</v>
      </c>
      <c r="D20" t="s">
        <v>3</v>
      </c>
      <c r="E20" s="8">
        <f>3/16</f>
        <v>0.1875</v>
      </c>
      <c r="F20" s="1" t="s">
        <v>19</v>
      </c>
      <c r="H20" s="8">
        <v>0.47625000000000001</v>
      </c>
      <c r="I20" s="1" t="s">
        <v>25</v>
      </c>
    </row>
    <row r="21" spans="2:18" x14ac:dyDescent="0.4">
      <c r="B21" s="1" t="s">
        <v>10</v>
      </c>
      <c r="C21" s="2" t="s">
        <v>2</v>
      </c>
      <c r="D21" t="s">
        <v>11</v>
      </c>
      <c r="E21" s="5">
        <v>4.2850000000000001</v>
      </c>
      <c r="F21" s="1" t="s">
        <v>19</v>
      </c>
      <c r="H21" s="15">
        <v>10.883900000000001</v>
      </c>
      <c r="I21" s="1" t="s">
        <v>25</v>
      </c>
    </row>
    <row r="22" spans="2:18" ht="17.600000000000001" x14ac:dyDescent="0.55000000000000004">
      <c r="B22" s="1" t="s">
        <v>26</v>
      </c>
      <c r="C22" s="2" t="s">
        <v>2</v>
      </c>
      <c r="D22" t="s">
        <v>9</v>
      </c>
      <c r="E22" s="5">
        <v>2.5</v>
      </c>
      <c r="F22" s="1" t="s">
        <v>19</v>
      </c>
      <c r="H22" s="15">
        <v>6.35</v>
      </c>
      <c r="I22" s="1" t="s">
        <v>25</v>
      </c>
      <c r="K22" s="47" t="s">
        <v>56</v>
      </c>
      <c r="L22" s="47"/>
      <c r="M22" s="47"/>
      <c r="N22" s="47"/>
      <c r="O22" s="47"/>
      <c r="P22" s="47"/>
      <c r="Q22" s="47"/>
      <c r="R22" s="47"/>
    </row>
    <row r="23" spans="2:18" x14ac:dyDescent="0.4">
      <c r="B23" s="1" t="s">
        <v>27</v>
      </c>
      <c r="C23" s="2" t="s">
        <v>2</v>
      </c>
      <c r="D23" t="s">
        <v>6</v>
      </c>
      <c r="E23" s="5">
        <v>7.5</v>
      </c>
      <c r="F23" s="1" t="s">
        <v>19</v>
      </c>
      <c r="H23" s="15">
        <v>19.05</v>
      </c>
      <c r="I23" s="1" t="s">
        <v>25</v>
      </c>
    </row>
    <row r="24" spans="2:18" x14ac:dyDescent="0.4">
      <c r="B24" s="1" t="s">
        <v>28</v>
      </c>
      <c r="C24" s="2" t="s">
        <v>2</v>
      </c>
      <c r="D24" t="s">
        <v>61</v>
      </c>
      <c r="E24" s="5">
        <v>3</v>
      </c>
      <c r="F24" s="1" t="s">
        <v>19</v>
      </c>
      <c r="H24" s="15">
        <v>7.62</v>
      </c>
      <c r="I24" s="1" t="s">
        <v>25</v>
      </c>
    </row>
    <row r="25" spans="2:18" ht="17.149999999999999" x14ac:dyDescent="0.55000000000000004">
      <c r="B25" s="1" t="s">
        <v>68</v>
      </c>
      <c r="C25" s="2"/>
      <c r="D25" t="s">
        <v>46</v>
      </c>
      <c r="E25" s="28">
        <v>600000</v>
      </c>
      <c r="F25" s="9" t="s">
        <v>4</v>
      </c>
      <c r="G25" s="14"/>
      <c r="H25" s="28">
        <v>4136854</v>
      </c>
      <c r="I25" s="1" t="s">
        <v>35</v>
      </c>
    </row>
    <row r="26" spans="2:18" x14ac:dyDescent="0.4">
      <c r="B26" s="1" t="s">
        <v>15</v>
      </c>
      <c r="C26" s="2" t="s">
        <v>2</v>
      </c>
      <c r="D26" t="s">
        <v>50</v>
      </c>
      <c r="E26" s="6" t="s">
        <v>17</v>
      </c>
      <c r="F26" s="20" t="s">
        <v>16</v>
      </c>
      <c r="H26" s="6" t="s">
        <v>17</v>
      </c>
      <c r="I26" s="20" t="s">
        <v>16</v>
      </c>
    </row>
    <row r="27" spans="2:18" x14ac:dyDescent="0.4">
      <c r="B27" s="1"/>
      <c r="C27" s="2"/>
      <c r="E27" s="10"/>
      <c r="F27" s="1"/>
    </row>
    <row r="28" spans="2:18" x14ac:dyDescent="0.4">
      <c r="B28" s="46" t="s">
        <v>32</v>
      </c>
      <c r="C28" s="46"/>
      <c r="D28" s="46"/>
      <c r="E28" s="10"/>
      <c r="F28" s="1"/>
    </row>
    <row r="29" spans="2:18" x14ac:dyDescent="0.4">
      <c r="B29" s="1" t="s">
        <v>43</v>
      </c>
      <c r="C29" s="2"/>
      <c r="E29" s="29">
        <f>((2*E22*E21)+(E22*E22)+(E21*E23)+(E22*E23)+(E23*E23))/(3*(E22+E23))</f>
        <v>4.4937500000000004</v>
      </c>
      <c r="F29" s="9" t="s">
        <v>19</v>
      </c>
      <c r="G29" s="14"/>
      <c r="H29" s="29">
        <f>((2*H22*H21)+(H22*H22)+(H21*H23)+(H22*H23)+(H23*H23))/(3*(H22+H23))</f>
        <v>11.414125000000002</v>
      </c>
      <c r="I29" s="1" t="s">
        <v>25</v>
      </c>
    </row>
    <row r="30" spans="2:18" x14ac:dyDescent="0.4">
      <c r="B30" s="44" t="s">
        <v>69</v>
      </c>
      <c r="C30" s="2"/>
      <c r="E30" s="29"/>
      <c r="F30" s="9"/>
      <c r="G30" s="14"/>
      <c r="H30" s="29"/>
      <c r="I30" s="1"/>
    </row>
    <row r="31" spans="2:18" x14ac:dyDescent="0.4">
      <c r="B31" s="1" t="s">
        <v>58</v>
      </c>
      <c r="C31" s="2"/>
      <c r="D31" s="1" t="s">
        <v>44</v>
      </c>
      <c r="E31" s="32">
        <f>E20/E23</f>
        <v>2.5000000000000001E-2</v>
      </c>
      <c r="F31" s="38"/>
      <c r="G31" s="23"/>
      <c r="H31" s="32">
        <f>H20/H23</f>
        <v>2.4999999999999998E-2</v>
      </c>
      <c r="I31" s="1"/>
    </row>
    <row r="32" spans="2:18" x14ac:dyDescent="0.4">
      <c r="B32" s="1"/>
      <c r="C32" s="2"/>
      <c r="E32" s="32"/>
      <c r="F32" s="38"/>
      <c r="G32" s="23"/>
      <c r="H32" s="32"/>
      <c r="I32" s="1"/>
    </row>
    <row r="33" spans="2:9" x14ac:dyDescent="0.4">
      <c r="B33" s="1" t="s">
        <v>59</v>
      </c>
      <c r="C33" s="2"/>
      <c r="D33" s="1" t="s">
        <v>45</v>
      </c>
      <c r="E33" s="32">
        <f>E22/E23</f>
        <v>0.33333333333333331</v>
      </c>
      <c r="F33" s="38"/>
      <c r="G33" s="23"/>
      <c r="H33" s="32">
        <f>H22/H23</f>
        <v>0.33333333333333331</v>
      </c>
      <c r="I33" s="1"/>
    </row>
    <row r="34" spans="2:9" x14ac:dyDescent="0.4">
      <c r="B34" s="44" t="s">
        <v>70</v>
      </c>
      <c r="C34" s="2"/>
      <c r="E34" s="30"/>
      <c r="F34" s="37"/>
      <c r="G34" s="7"/>
      <c r="H34" s="30"/>
      <c r="I34" s="1"/>
    </row>
    <row r="35" spans="2:9" x14ac:dyDescent="0.4">
      <c r="B35" s="1" t="s">
        <v>47</v>
      </c>
      <c r="C35" s="2"/>
      <c r="E35" s="30">
        <f>E24*(E22+E23)/2</f>
        <v>15</v>
      </c>
      <c r="F35" s="37" t="s">
        <v>36</v>
      </c>
      <c r="G35" s="7"/>
      <c r="H35" s="30">
        <f>H24*(H22+H23)/2</f>
        <v>96.774000000000001</v>
      </c>
      <c r="I35" s="1" t="s">
        <v>40</v>
      </c>
    </row>
    <row r="36" spans="2:9" x14ac:dyDescent="0.4">
      <c r="B36" s="44" t="s">
        <v>69</v>
      </c>
      <c r="C36" s="2"/>
      <c r="E36" s="30"/>
      <c r="F36" s="37"/>
      <c r="G36" s="7"/>
      <c r="H36" s="30"/>
      <c r="I36" s="1"/>
    </row>
    <row r="37" spans="2:9" ht="16.3" x14ac:dyDescent="0.4">
      <c r="B37" s="1" t="s">
        <v>57</v>
      </c>
      <c r="C37" s="2"/>
      <c r="D37" s="1" t="s">
        <v>60</v>
      </c>
      <c r="E37" s="32">
        <f>(E24*E24)/E35</f>
        <v>0.6</v>
      </c>
      <c r="F37" s="38"/>
      <c r="G37" s="23"/>
      <c r="H37" s="32">
        <f>(H24*H24)/H35</f>
        <v>0.6</v>
      </c>
      <c r="I37" s="1"/>
    </row>
    <row r="38" spans="2:9" x14ac:dyDescent="0.4">
      <c r="B38" s="1"/>
      <c r="C38" s="2"/>
      <c r="D38" s="1"/>
      <c r="E38" s="32"/>
      <c r="F38" s="38"/>
      <c r="G38" s="23"/>
      <c r="H38" s="32"/>
      <c r="I38" s="1"/>
    </row>
    <row r="39" spans="2:9" x14ac:dyDescent="0.4">
      <c r="B39" s="1" t="s">
        <v>42</v>
      </c>
      <c r="C39" s="2"/>
      <c r="E39" s="32">
        <f>(E29/E23)-0.25</f>
        <v>0.34916666666666674</v>
      </c>
      <c r="F39" s="38"/>
      <c r="G39" s="23"/>
      <c r="H39" s="32">
        <f>(H29/H23)-0.25</f>
        <v>0.34916666666666674</v>
      </c>
      <c r="I39" s="1"/>
    </row>
    <row r="40" spans="2:9" x14ac:dyDescent="0.4">
      <c r="B40" s="1"/>
      <c r="C40" s="2"/>
      <c r="E40" s="29"/>
      <c r="F40" s="9"/>
      <c r="G40" s="14"/>
      <c r="H40" s="29"/>
      <c r="I40" s="1"/>
    </row>
    <row r="41" spans="2:9" x14ac:dyDescent="0.4">
      <c r="B41" s="12" t="s">
        <v>51</v>
      </c>
      <c r="C41" s="2"/>
      <c r="E41" s="29">
        <f>24*E39*1.4*14.696/PI()</f>
        <v>54.880912648872197</v>
      </c>
      <c r="F41" s="9" t="s">
        <v>4</v>
      </c>
      <c r="G41" s="14"/>
      <c r="H41" s="29">
        <f>24*H39*1.4*101.325/PI()</f>
        <v>378.38925382056175</v>
      </c>
      <c r="I41" s="1" t="s">
        <v>35</v>
      </c>
    </row>
    <row r="42" spans="2:9" x14ac:dyDescent="0.4">
      <c r="B42" s="12"/>
      <c r="C42" s="2"/>
      <c r="E42" s="29"/>
      <c r="F42" s="9"/>
      <c r="G42" s="14"/>
      <c r="H42" s="29"/>
      <c r="I42" s="1"/>
    </row>
    <row r="43" spans="2:9" x14ac:dyDescent="0.4">
      <c r="B43" s="1" t="s">
        <v>52</v>
      </c>
      <c r="C43" s="2"/>
      <c r="D43" s="45" t="s">
        <v>79</v>
      </c>
      <c r="E43" s="29">
        <f>IF((E17="DST"),(59-(0.00356*(E13+E14))),(E15-(0.00356*(E13))))</f>
        <v>35.147999999999996</v>
      </c>
      <c r="F43" s="9" t="s">
        <v>12</v>
      </c>
      <c r="G43" s="14"/>
      <c r="H43" s="29">
        <f>IF((H17="DST"),(15-(0.0065*(H13+H14))),(H15-(0.0065*(H13))))</f>
        <v>1.7259600000000006</v>
      </c>
      <c r="I43" s="1" t="s">
        <v>31</v>
      </c>
    </row>
    <row r="44" spans="2:9" x14ac:dyDescent="0.4">
      <c r="B44" s="1"/>
      <c r="C44" s="2"/>
      <c r="E44" s="29"/>
      <c r="F44" s="9"/>
      <c r="G44" s="14"/>
      <c r="H44" s="29"/>
      <c r="I44" s="1"/>
    </row>
    <row r="45" spans="2:9" x14ac:dyDescent="0.4">
      <c r="B45" s="1"/>
      <c r="C45" s="2"/>
      <c r="D45" s="45" t="s">
        <v>79</v>
      </c>
      <c r="E45" s="29"/>
      <c r="F45" s="9"/>
      <c r="G45" s="14"/>
      <c r="H45" s="29"/>
      <c r="I45" s="1"/>
    </row>
    <row r="46" spans="2:9" x14ac:dyDescent="0.4">
      <c r="B46" s="1"/>
      <c r="C46" s="2"/>
      <c r="E46" s="29"/>
      <c r="F46" s="9"/>
      <c r="G46" s="14"/>
      <c r="H46" s="29"/>
      <c r="I46" s="1"/>
    </row>
    <row r="47" spans="2:9" x14ac:dyDescent="0.4">
      <c r="B47" s="1"/>
      <c r="C47" s="2"/>
      <c r="E47" s="29"/>
      <c r="F47" s="9"/>
      <c r="G47" s="14"/>
      <c r="H47" s="29"/>
      <c r="I47" s="1"/>
    </row>
    <row r="48" spans="2:9" x14ac:dyDescent="0.4">
      <c r="B48" s="1" t="s">
        <v>53</v>
      </c>
      <c r="C48" s="2"/>
      <c r="E48" s="29">
        <f>49.03*SQRT(459.7 + E43)</f>
        <v>1090.681138776682</v>
      </c>
      <c r="F48" s="9" t="s">
        <v>5</v>
      </c>
      <c r="G48" s="14"/>
      <c r="H48" s="29">
        <f>20.05*SQRT(273.16 + H43)</f>
        <v>332.42268745514349</v>
      </c>
      <c r="I48" s="1" t="s">
        <v>29</v>
      </c>
    </row>
    <row r="49" spans="2:9" x14ac:dyDescent="0.4">
      <c r="B49" s="1"/>
      <c r="C49" s="2"/>
      <c r="E49" s="29"/>
      <c r="F49" s="9"/>
      <c r="G49" s="14"/>
      <c r="H49" s="29"/>
      <c r="I49" s="1"/>
    </row>
    <row r="50" spans="2:9" x14ac:dyDescent="0.4">
      <c r="B50" s="1"/>
      <c r="C50" s="2"/>
      <c r="D50" s="45" t="s">
        <v>81</v>
      </c>
      <c r="E50" s="29"/>
      <c r="F50" s="9"/>
      <c r="G50" s="14"/>
      <c r="H50" s="29"/>
      <c r="I50" s="1"/>
    </row>
    <row r="51" spans="2:9" x14ac:dyDescent="0.4">
      <c r="B51" s="13" t="s">
        <v>54</v>
      </c>
      <c r="C51" s="2"/>
      <c r="D51" s="45" t="s">
        <v>80</v>
      </c>
      <c r="E51" s="29">
        <f>IF((E17="DST"),(14.696*((E43+459.7)/(59+459.7))^5.256),(E16*((E43+459.7)/(E15+459.7))^5.256))</f>
        <v>11.474749839985972</v>
      </c>
      <c r="F51" s="9" t="s">
        <v>4</v>
      </c>
      <c r="G51" s="14"/>
      <c r="H51" s="29">
        <f>IF((H17="DST"),(101.325*((H43+273.16)/(15+273.16))^5.256),(H16*((H43+273.16)/(H15+273.16))^5.256))</f>
        <v>79.080199541806351</v>
      </c>
      <c r="I51" s="1" t="s">
        <v>35</v>
      </c>
    </row>
    <row r="52" spans="2:9" x14ac:dyDescent="0.4">
      <c r="B52" s="13"/>
      <c r="C52" s="2"/>
      <c r="E52" s="29"/>
      <c r="F52" s="9"/>
      <c r="G52" s="14"/>
      <c r="H52" s="29"/>
      <c r="I52" s="1"/>
    </row>
    <row r="53" spans="2:9" x14ac:dyDescent="0.4">
      <c r="B53" s="13"/>
      <c r="C53" s="2"/>
      <c r="D53" s="45" t="s">
        <v>81</v>
      </c>
      <c r="E53" s="29"/>
      <c r="F53" s="9"/>
      <c r="G53" s="14"/>
      <c r="H53" s="29"/>
      <c r="I53" s="1"/>
    </row>
    <row r="54" spans="2:9" x14ac:dyDescent="0.4">
      <c r="B54" s="1"/>
      <c r="C54" s="2"/>
      <c r="D54" s="45" t="s">
        <v>80</v>
      </c>
      <c r="E54" s="31"/>
      <c r="F54" s="1"/>
      <c r="H54" s="31"/>
      <c r="I54" s="1"/>
    </row>
    <row r="55" spans="2:9" x14ac:dyDescent="0.4">
      <c r="B55" s="1"/>
      <c r="C55" s="2"/>
      <c r="E55" s="31"/>
      <c r="F55" s="1"/>
      <c r="H55" s="31"/>
      <c r="I55" s="1"/>
    </row>
    <row r="56" spans="2:9" x14ac:dyDescent="0.4">
      <c r="B56" s="1"/>
      <c r="C56" s="2"/>
      <c r="E56" s="30"/>
      <c r="F56" s="37"/>
      <c r="G56" s="7"/>
      <c r="H56" s="30"/>
      <c r="I56" s="1"/>
    </row>
    <row r="57" spans="2:9" x14ac:dyDescent="0.4">
      <c r="B57" s="1" t="s">
        <v>37</v>
      </c>
      <c r="C57" s="2"/>
      <c r="E57" s="29">
        <f>(E41*E37^3)/(((E20/E23)^3)*(E37+2))</f>
        <v>291797.59094538807</v>
      </c>
      <c r="F57" s="9" t="s">
        <v>4</v>
      </c>
      <c r="G57" s="14"/>
      <c r="H57" s="29">
        <f>(H41*H37^3)/(((H20/H23)^3)*(H37+2))</f>
        <v>2011866.5556982486</v>
      </c>
      <c r="I57" s="1" t="s">
        <v>35</v>
      </c>
    </row>
    <row r="58" spans="2:9" x14ac:dyDescent="0.4">
      <c r="B58" s="1"/>
      <c r="C58" s="2"/>
      <c r="E58" s="31"/>
      <c r="F58" s="1"/>
      <c r="H58" s="31"/>
      <c r="I58" s="1"/>
    </row>
    <row r="59" spans="2:9" x14ac:dyDescent="0.4">
      <c r="B59" s="1"/>
      <c r="C59" s="2"/>
      <c r="E59" s="31"/>
      <c r="F59" s="1"/>
      <c r="H59" s="31"/>
      <c r="I59" s="1"/>
    </row>
    <row r="60" spans="2:9" x14ac:dyDescent="0.4">
      <c r="B60" s="1" t="s">
        <v>38</v>
      </c>
      <c r="C60" s="2"/>
      <c r="E60" s="29">
        <f>(E33+1)/2</f>
        <v>0.66666666666666663</v>
      </c>
      <c r="F60" s="9"/>
      <c r="G60" s="14"/>
      <c r="H60" s="29">
        <f>(H33+1)/2</f>
        <v>0.66666666666666663</v>
      </c>
      <c r="I60" s="1"/>
    </row>
    <row r="61" spans="2:9" x14ac:dyDescent="0.4">
      <c r="B61" s="1"/>
      <c r="C61" s="2"/>
      <c r="E61" s="29"/>
      <c r="F61" s="9"/>
      <c r="G61" s="14"/>
      <c r="H61" s="29"/>
      <c r="I61" s="1"/>
    </row>
    <row r="62" spans="2:9" x14ac:dyDescent="0.4">
      <c r="B62" s="1"/>
      <c r="C62" s="2"/>
      <c r="E62" s="29"/>
      <c r="F62" s="9"/>
      <c r="G62" s="14"/>
      <c r="H62" s="29"/>
      <c r="I62" s="1"/>
    </row>
    <row r="63" spans="2:9" x14ac:dyDescent="0.4">
      <c r="B63" s="1" t="s">
        <v>39</v>
      </c>
      <c r="C63" s="2"/>
      <c r="E63" s="29">
        <f>E51/14.696</f>
        <v>0.78080769188799481</v>
      </c>
      <c r="F63" s="9"/>
      <c r="G63" s="14"/>
      <c r="H63" s="29">
        <f>H51/101.325</f>
        <v>0.78046088864353658</v>
      </c>
      <c r="I63" s="1"/>
    </row>
    <row r="64" spans="2:9" x14ac:dyDescent="0.4">
      <c r="B64" s="1"/>
      <c r="C64" s="2"/>
      <c r="E64" s="29"/>
      <c r="F64" s="9"/>
      <c r="G64" s="14"/>
      <c r="H64" s="19"/>
      <c r="I64" s="1"/>
    </row>
    <row r="65" spans="1:11" ht="15" thickBot="1" x14ac:dyDescent="0.45">
      <c r="B65" s="1"/>
      <c r="C65" s="2"/>
      <c r="E65" s="29"/>
      <c r="F65" s="9"/>
      <c r="G65" s="14"/>
      <c r="H65" s="19"/>
      <c r="I65" s="1"/>
    </row>
    <row r="66" spans="1:11" ht="15" thickBot="1" x14ac:dyDescent="0.45">
      <c r="B66" s="1" t="s">
        <v>0</v>
      </c>
      <c r="C66" s="2"/>
      <c r="E66" s="33">
        <f>E48*SQRT((IF((E26="NO"),(E25),(E25*2)))/(E57*E60*E63))</f>
        <v>2167.7348770372191</v>
      </c>
      <c r="F66" s="39" t="s">
        <v>5</v>
      </c>
      <c r="G66" s="14"/>
      <c r="H66" s="25">
        <f>H48*SQRT((IF((H26="NO"),(H25),(H25*2)))/(H57*H60*H63))</f>
        <v>660.8398516127022</v>
      </c>
      <c r="I66" s="42" t="s">
        <v>29</v>
      </c>
    </row>
    <row r="67" spans="1:11" x14ac:dyDescent="0.4">
      <c r="B67" s="1"/>
      <c r="C67" s="2"/>
      <c r="E67" s="34"/>
      <c r="F67" s="1"/>
      <c r="I67" s="1"/>
      <c r="K67" s="1"/>
    </row>
    <row r="68" spans="1:11" s="1" customFormat="1" x14ac:dyDescent="0.4">
      <c r="A68"/>
      <c r="C68" s="2"/>
      <c r="D68"/>
      <c r="E68" s="34"/>
      <c r="G68"/>
      <c r="H68"/>
    </row>
    <row r="69" spans="1:11" ht="15" thickBot="1" x14ac:dyDescent="0.45">
      <c r="B69" s="1"/>
      <c r="C69" s="2"/>
      <c r="E69" s="34"/>
      <c r="F69" s="1"/>
      <c r="I69" s="1"/>
    </row>
    <row r="70" spans="1:11" ht="15" thickBot="1" x14ac:dyDescent="0.45">
      <c r="B70" s="1" t="s">
        <v>48</v>
      </c>
      <c r="C70" s="2"/>
      <c r="D70" s="1"/>
      <c r="E70" s="35">
        <f>(E66-E12)</f>
        <v>667.73487703721912</v>
      </c>
      <c r="F70" s="40" t="s">
        <v>5</v>
      </c>
      <c r="G70" s="17"/>
      <c r="H70" s="22">
        <f>(H66-H12)</f>
        <v>203.63985161270216</v>
      </c>
      <c r="I70" s="43" t="s">
        <v>29</v>
      </c>
    </row>
    <row r="71" spans="1:11" ht="15" thickBot="1" x14ac:dyDescent="0.45">
      <c r="A71" s="1"/>
      <c r="B71" s="1" t="s">
        <v>49</v>
      </c>
      <c r="C71" s="1"/>
      <c r="D71" s="1"/>
      <c r="E71" s="36">
        <f>100*(E66-E12)/E12</f>
        <v>44.515658469147944</v>
      </c>
      <c r="F71" s="41" t="s">
        <v>41</v>
      </c>
      <c r="G71" s="18"/>
      <c r="H71" s="24">
        <f>100*(H66-H12)/H12</f>
        <v>44.540649959033715</v>
      </c>
      <c r="I71" s="42" t="s">
        <v>41</v>
      </c>
    </row>
  </sheetData>
  <mergeCells count="6">
    <mergeCell ref="B28:D28"/>
    <mergeCell ref="K22:R22"/>
    <mergeCell ref="H10:I10"/>
    <mergeCell ref="B8:D8"/>
    <mergeCell ref="E10:F10"/>
    <mergeCell ref="B10:D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Bennett</dc:creator>
  <cp:lastModifiedBy>John Bennett</cp:lastModifiedBy>
  <dcterms:created xsi:type="dcterms:W3CDTF">2023-10-09T04:40:43Z</dcterms:created>
  <dcterms:modified xsi:type="dcterms:W3CDTF">2025-12-12T22:53:49Z</dcterms:modified>
</cp:coreProperties>
</file>